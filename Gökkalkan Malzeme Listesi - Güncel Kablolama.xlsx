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erkartkaya/Documents/gokkalkan/"/>
    </mc:Choice>
  </mc:AlternateContent>
  <xr:revisionPtr revIDLastSave="0" documentId="13_ncr:1_{7CC08A49-6591-E143-BC76-45C58C694246}" xr6:coauthVersionLast="47" xr6:coauthVersionMax="47" xr10:uidLastSave="{00000000-0000-0000-0000-000000000000}"/>
  <bookViews>
    <workbookView xWindow="4360" yWindow="2660" windowWidth="27640" windowHeight="16940" xr2:uid="{D38DFFE9-3F07-A344-9A9A-115AA25B4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  <c r="F66" i="1"/>
  <c r="F65" i="1"/>
  <c r="F64" i="1"/>
  <c r="F62" i="1"/>
  <c r="F61" i="1"/>
  <c r="F56" i="1"/>
  <c r="F55" i="1"/>
  <c r="F54" i="1"/>
  <c r="F53" i="1"/>
  <c r="F51" i="1"/>
  <c r="F50" i="1"/>
  <c r="F49" i="1"/>
  <c r="F48" i="1"/>
  <c r="F47" i="1"/>
</calcChain>
</file>

<file path=xl/sharedStrings.xml><?xml version="1.0" encoding="utf-8"?>
<sst xmlns="http://schemas.openxmlformats.org/spreadsheetml/2006/main" count="308" uniqueCount="199">
  <si>
    <t>Malzeme Numarası</t>
  </si>
  <si>
    <t>Malzeme Adı</t>
  </si>
  <si>
    <t>Malzeme Türü</t>
  </si>
  <si>
    <t>Sipariş Durumu</t>
  </si>
  <si>
    <t>Alınan Malzeme Adedi</t>
  </si>
  <si>
    <t>Güncel Malzeme Linki</t>
  </si>
  <si>
    <t>Malzeme Tanımı ve Özellikleri</t>
  </si>
  <si>
    <t>Raspberry Pi 5</t>
  </si>
  <si>
    <t>Raspberry Pi</t>
  </si>
  <si>
    <t>Teslim Alındı</t>
  </si>
  <si>
    <t>8 GB</t>
  </si>
  <si>
    <t>Raspberry Pi Pico</t>
  </si>
  <si>
    <t>RP2040</t>
  </si>
  <si>
    <t>Mean Well Güç Kaynağı</t>
  </si>
  <si>
    <t>Güç Kaynakları</t>
  </si>
  <si>
    <t>RSP50024 (500W, 24V, 21A)</t>
  </si>
  <si>
    <t>DC-DC Regülatör</t>
  </si>
  <si>
    <t>DC-DC Regülatör 24V-5V</t>
  </si>
  <si>
    <t>24V→5V</t>
  </si>
  <si>
    <t>DC-DC Regülatör (Vidalı)</t>
  </si>
  <si>
    <t>DC-DC Regülatör 24V-12V</t>
  </si>
  <si>
    <t>24V→12V (Vidalı)</t>
  </si>
  <si>
    <t>NEMA23 Step Motor</t>
  </si>
  <si>
    <t>Motor ve Sürücüler</t>
  </si>
  <si>
    <t>EO57-23 (2.3 N.m)</t>
  </si>
  <si>
    <t>NEMA17 Step Motor</t>
  </si>
  <si>
    <t>Sipariş Verilmeyecek</t>
  </si>
  <si>
    <t>EO42-04 (0.4 N.m)</t>
  </si>
  <si>
    <t>Step Motor Sürücü</t>
  </si>
  <si>
    <t>DM542</t>
  </si>
  <si>
    <t>Artımsal Rotary Enkoder</t>
  </si>
  <si>
    <t>Sensör</t>
  </si>
  <si>
    <t>Havale Onayı Alındı</t>
  </si>
  <si>
    <t>Fenac F50-1024</t>
  </si>
  <si>
    <t>Raspberry Pi Camera AI HAT+</t>
  </si>
  <si>
    <t>26T</t>
  </si>
  <si>
    <t>Raspberry Pi Camera</t>
  </si>
  <si>
    <t>Raspberry Pi Camera Module 3</t>
  </si>
  <si>
    <t>Standart</t>
  </si>
  <si>
    <t>Acil Durdurma Butonu</t>
  </si>
  <si>
    <t>Devre Elemanı</t>
  </si>
  <si>
    <t>Gwest LAY2-KSE542E</t>
  </si>
  <si>
    <t>Kontaktör</t>
  </si>
  <si>
    <t>LP1K1210BD</t>
  </si>
  <si>
    <t>Emniyet Rölesi</t>
  </si>
  <si>
    <t>Emniyet Güvenlik Rölesi</t>
  </si>
  <si>
    <t>YL-314-C-T 24V 40A 5-Pin</t>
  </si>
  <si>
    <t>CAN Transceiver Modülü</t>
  </si>
  <si>
    <t>Elektronik Kartlar</t>
  </si>
  <si>
    <t>CAN Transcevier Modülü</t>
  </si>
  <si>
    <t>SN65HVD230</t>
  </si>
  <si>
    <t>Soğutma Fanı</t>
  </si>
  <si>
    <t>24V, 0.08A</t>
  </si>
  <si>
    <t>PLA Filament (Siyah)</t>
  </si>
  <si>
    <t>Diğer</t>
  </si>
  <si>
    <t>Siyah</t>
  </si>
  <si>
    <t>PLA Filament (Kahverengi)</t>
  </si>
  <si>
    <t>Kahverengi</t>
  </si>
  <si>
    <t>PLA Filament (Kırmızı)</t>
  </si>
  <si>
    <t>Kırmızı</t>
  </si>
  <si>
    <t>PLA Filament (Cyan)</t>
  </si>
  <si>
    <t>Cyan</t>
  </si>
  <si>
    <t>PETG Filament</t>
  </si>
  <si>
    <t>PETG Filament (Siyah)</t>
  </si>
  <si>
    <t>Sarı</t>
  </si>
  <si>
    <t>Lazer Kesim Hizmeti (Özel İmalat)</t>
  </si>
  <si>
    <t>Sipariş Fiziksel Verilecek</t>
  </si>
  <si>
    <t>-</t>
  </si>
  <si>
    <t>Çelik Pinyon Dişli</t>
  </si>
  <si>
    <t>Araç ve Gereçler</t>
  </si>
  <si>
    <t>20T, 1,5M</t>
  </si>
  <si>
    <t>Şarjör Yay Seti</t>
  </si>
  <si>
    <t>Şarjör Yayı</t>
  </si>
  <si>
    <t>Şarjör ve Mermi</t>
  </si>
  <si>
    <t>Şarjör</t>
  </si>
  <si>
    <t>0.25gr BB (4000 adet)</t>
  </si>
  <si>
    <t>Eksenel Rulman</t>
  </si>
  <si>
    <t>Kargoya Verildi</t>
  </si>
  <si>
    <t>Eksenel Rulman Yatay Şaft</t>
  </si>
  <si>
    <t>25x52x15mm</t>
  </si>
  <si>
    <t>Havale Onayı Bekliyor</t>
  </si>
  <si>
    <t>Eksenel Rulman Dikey Şaft</t>
  </si>
  <si>
    <t>25mm</t>
  </si>
  <si>
    <t>Civata</t>
  </si>
  <si>
    <t>M12</t>
  </si>
  <si>
    <t>LiDAR</t>
  </si>
  <si>
    <t>TFA50-L (Single Point)</t>
  </si>
  <si>
    <t>Airsoft Silah</t>
  </si>
  <si>
    <t>Airsoft Tüfek</t>
  </si>
  <si>
    <t>APS PER701</t>
  </si>
  <si>
    <t>Uzun Makaralı Mikro Switch</t>
  </si>
  <si>
    <t>Mikro Switch</t>
  </si>
  <si>
    <t>IC171</t>
  </si>
  <si>
    <t>Dişi Faston</t>
  </si>
  <si>
    <t>10 adet</t>
  </si>
  <si>
    <t>Diyot</t>
  </si>
  <si>
    <t>1N4007</t>
  </si>
  <si>
    <t>NEMA23 Braket</t>
  </si>
  <si>
    <t>Alüminyum</t>
  </si>
  <si>
    <t>Şaft Mil Tutucu</t>
  </si>
  <si>
    <t>Ayarlanabilir Braket</t>
  </si>
  <si>
    <t>2 adet</t>
  </si>
  <si>
    <t>L Braket</t>
  </si>
  <si>
    <t>2x40x40x200mm</t>
  </si>
  <si>
    <t>LI-ION Pil</t>
  </si>
  <si>
    <t>7.4v 2500 mAh</t>
  </si>
  <si>
    <t>LI-ION Pil Şarj Aleti</t>
  </si>
  <si>
    <t>2s-3s</t>
  </si>
  <si>
    <t>Şaft Mili</t>
  </si>
  <si>
    <t>Sipariş Verildi</t>
  </si>
  <si>
    <t>1m</t>
  </si>
  <si>
    <t>Blendajlı Sinyal Kablosu</t>
  </si>
  <si>
    <t>Mandallı Klemens</t>
  </si>
  <si>
    <t>İzoleli Kablo Yüksük Seti</t>
  </si>
  <si>
    <t>Isıyla Daralan Makaron Seti</t>
  </si>
  <si>
    <t>Step Motor Pulse Jeneratörü</t>
  </si>
  <si>
    <t>Plastik Kablo Bağı Paketi</t>
  </si>
  <si>
    <t>Raspberry Pi Kamera Flex Kablosu</t>
  </si>
  <si>
    <t>Alınacak Adet</t>
  </si>
  <si>
    <t>Satın Alma Linki</t>
  </si>
  <si>
    <t>Kullanım / Not</t>
  </si>
  <si>
    <t>Silikon Kablo - Kırmızı</t>
  </si>
  <si>
    <t>Güç Kablosu</t>
  </si>
  <si>
    <t>14 AWG, kırmızı, 3 m</t>
  </si>
  <si>
    <t>24 V pozitif güç dağıtımı; T-Plug uzatmasından farklıdır.</t>
  </si>
  <si>
    <t>Silikon Kablo - Siyah</t>
  </si>
  <si>
    <t>14 AWG, siyah, 3 m</t>
  </si>
  <si>
    <t>24 V negatif güç dağıtımı; T-Plug uzatmasından farklıdır.</t>
  </si>
  <si>
    <t>Sinyal Kablosu</t>
  </si>
  <si>
    <t>4×0,22 mm², 10 m</t>
  </si>
  <si>
    <t>Enkoder ve düşük seviyeli sinyal hatları için.</t>
  </si>
  <si>
    <t>Siemens Emniyet Rölesi</t>
  </si>
  <si>
    <t>Güvenlik Elemanı</t>
  </si>
  <si>
    <t>3SK1111-1AB30, 24 V AC/DC</t>
  </si>
  <si>
    <t>YL-314-C-T otomotiv rölesi bunun yerine geçmez; kontaktörle birlikte kullanılacak.</t>
  </si>
  <si>
    <t>İkinci Kanal Stop Kontağı</t>
  </si>
  <si>
    <t>Gwest 6102, 1NK</t>
  </si>
  <si>
    <t>Acil Durdur butonuna takılarak ikinci güvenlik kanalını oluşturur.</t>
  </si>
  <si>
    <t>Schneider Kontaktör</t>
  </si>
  <si>
    <t>LP1K1201BD, 24 VDC bobin, 3NA+1NK</t>
  </si>
  <si>
    <t>Emniyet rölesinin yerine değil, emniyet rölesiyle birlikte kullanılır. Üst listedeki LP1K1210BD yerine seçildi.</t>
  </si>
  <si>
    <t>Manuel Reset Butonu</t>
  </si>
  <si>
    <t>Anlık basmalı, 1NA</t>
  </si>
  <si>
    <t>Acil Durdur bırakılınca sistemin kendiliğinden yeniden başlamasını önler.</t>
  </si>
  <si>
    <t>Kontaktör Bobin Bastırma Modülü</t>
  </si>
  <si>
    <t>Schneider LA4KE1B, TeSys K varistör modülü</t>
  </si>
  <si>
    <t>Kontaktör bobini bırakırken oluşan gerilim darbesini bastırır.</t>
  </si>
  <si>
    <t>USB-A → Micro-USB Veri Kablosu</t>
  </si>
  <si>
    <t>Veri Kablosu</t>
  </si>
  <si>
    <t>Kısa, veri destekli; yalnız şarj kablosu olmayacak</t>
  </si>
  <si>
    <t>Raspberry Pi 5 ile Pico arasında USB seri haberleşme için. CAN donanımı alınmayacak.</t>
  </si>
  <si>
    <t>T-Plug Erkek-Dişi Kablolu Uzatma</t>
  </si>
  <si>
    <t>Güç Konnektörü</t>
  </si>
  <si>
    <t>14 AWG kablolu erkek-dişi set</t>
  </si>
  <si>
    <t>Airsoft bataryası ile emniyet kesme devresi arasına, stok kabloyu kesmeden eklenir.</t>
  </si>
  <si>
    <t>XT60 Erkek-Dişi Pigtail Seti</t>
  </si>
  <si>
    <t>Üst ve alt gövdeyi bakımda ayırmak için; 24 V besleme ile sigortalı dağıtım arasında.</t>
  </si>
  <si>
    <t>Motor Kablosu</t>
  </si>
  <si>
    <t>ERSE 4×1,0 mm² LIYCY, 3 m/adet; toplam 6 m</t>
  </si>
  <si>
    <t>İki NEMA23 motor için birer adet 3 m kablo.</t>
  </si>
  <si>
    <t>Bağlantı Elemanı</t>
  </si>
  <si>
    <t>Orijinal WAGO 221-415, 5 iletkenli</t>
  </si>
  <si>
    <t>10 adet yerine 4 adet alınacak; yalnız sökülebilir düşük gerilim dağıtım noktalarında.</t>
  </si>
  <si>
    <t>Kullanılan iletken kesitlerine uygun karışık set</t>
  </si>
  <si>
    <t>Vidalı klemenslere giren çok telli kablo uçları için.</t>
  </si>
  <si>
    <t>Yalıtım</t>
  </si>
  <si>
    <t>Karışık çaplı set</t>
  </si>
  <si>
    <t>Lehimli ek ve açıkta kalabilecek bağlantıların yalıtımı için.</t>
  </si>
  <si>
    <t>Test Elemanı</t>
  </si>
  <si>
    <t>DM542 ile uyumlu manuel test jeneratörü</t>
  </si>
  <si>
    <t>Masa testinde motor ve sürücüyü ana yazılımdan bağımsız denemek için.</t>
  </si>
  <si>
    <t>Kablo Yönetimi</t>
  </si>
  <si>
    <t>100 mm ve 200 mm</t>
  </si>
  <si>
    <t>Sabit kablo demetlerini toplamak ve gerilim boşaltmak için.</t>
  </si>
  <si>
    <t>Genişleyebilir PET Kablo Çorabı</t>
  </si>
  <si>
    <t>Kablo Koruma</t>
  </si>
  <si>
    <t>10 mm, 1 m/adet; toplam 2 m</t>
  </si>
  <si>
    <t>Yalnız hareketli/sürtünen 24 V hattı, airsoft emniyet arayüzü ve servis halkasında.</t>
  </si>
  <si>
    <t>Kamera Kablosu</t>
  </si>
  <si>
    <t>22-pin → 15-pin; 200, 300 veya en fazla 500 mm</t>
  </si>
  <si>
    <t>5 m kablo alınmayacak; nihai boy mekanik yerleşim ölçülerek seçilecek.</t>
  </si>
  <si>
    <t>Topraklı Esnek Şebeke Kablosu</t>
  </si>
  <si>
    <t>AC Güç Kablosu</t>
  </si>
  <si>
    <t>3×1,0 mm² veya 3×1,5 mm²; faz+nötr+PE</t>
  </si>
  <si>
    <t>Eski 2×0,75 mm² TTR yerine. Uzunluk pano yerleşimine göre belirlenecek.</t>
  </si>
  <si>
    <t>DIN Ray PE/Toprak Klemensi</t>
  </si>
  <si>
    <t>Topraklama</t>
  </si>
  <si>
    <t>4 mm² ONKA MTK serisi</t>
  </si>
  <si>
    <t>Şebeke PE girişi, Mean Well PE bağlantısı ve metal şasi için.</t>
  </si>
  <si>
    <t>6 Yollu Baralı Sigorta Kutusu</t>
  </si>
  <si>
    <t>DC Koruma</t>
  </si>
  <si>
    <t>12/24 V, ATO/ATC, negatif baralı</t>
  </si>
  <si>
    <t>Ana 24 V yük kollarının ayrı ayrı sigortalanması için.</t>
  </si>
  <si>
    <t>Karışık Bıçak Sigorta Seti</t>
  </si>
  <si>
    <t>Standart/mini; 1–40 A karışık set</t>
  </si>
  <si>
    <t>Kesin sigorta değerleri ölçülen yük akımına ve kablo kesitine göre seçilecek.</t>
  </si>
  <si>
    <t>Kapaklı Ana Sigorta Yuvası</t>
  </si>
  <si>
    <t>Motoraid MT-SY25, 2,5 mm² kablolu</t>
  </si>
  <si>
    <t>24 V kaynağa yakın ana hat koruması için; 6'lı dağıtım kutusundan önce.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</si>
</sst>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rgb="FF181C32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4E79"/>
        <bgColor theme="1"/>
      </patternFill>
    </fill>
    <fill>
      <patternFill patternType="solid">
        <fgColor rgb="FF1F4E79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1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19">
    <dxf>
      <font>
        <strike val="0"/>
        <outline val="0"/>
        <shadow val="0"/>
        <vertAlign val="baseline"/>
        <sz val="10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imes New Roman"/>
        <family val="1"/>
        <scheme val="none"/>
      </font>
      <fill>
        <patternFill patternType="solid">
          <fgColor theme="1"/>
          <bgColor rgb="FF1F4E7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3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4E98E-4A27-0A47-ADEF-7FAFEEBBB93B}" name="Table1" displayName="Table1" ref="A1:G41" totalsRowShown="0" headerRowDxfId="18" headerRowBorderDxfId="17" tableBorderDxfId="16">
  <autoFilter ref="A1:G41" xr:uid="{2E94E98E-4A27-0A47-ADEF-7FAFEEBBB93B}"/>
  <tableColumns count="7">
    <tableColumn id="1" xr3:uid="{AD75FCE8-D0DA-B646-B264-8BA62730E3D1}" name="Malzeme Numarası" dataDxfId="15"/>
    <tableColumn id="2" xr3:uid="{8CA74441-1C40-1D46-8113-9505053CCFEC}" name="Malzeme Adı" dataDxfId="14"/>
    <tableColumn id="3" xr3:uid="{9C8C1853-D635-394E-87A9-D745317A21AF}" name="Malzeme Türü" dataDxfId="13"/>
    <tableColumn id="4" xr3:uid="{D4D2D7DC-3E46-344C-9BEC-27D11D1976AE}" name="Sipariş Durumu" dataDxfId="12"/>
    <tableColumn id="5" xr3:uid="{18D0A5EE-13E7-9B45-AA18-6EE3899B2E68}" name="Alınan Malzeme Adedi" dataDxfId="11"/>
    <tableColumn id="6" xr3:uid="{4D63B56A-2CA7-F544-A573-CF91F878364E}" name="Güncel Malzeme Linki" dataDxfId="10" dataCellStyle="Hyperlink"/>
    <tableColumn id="7" xr3:uid="{B2549C18-5973-3C42-94AA-EBFC91393BE6}" name="Malzeme Tanımı ve Özellikleri" dataDxfId="9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983AE-3BE3-8A41-A116-484E67933263}" name="Table2" displayName="Table2" ref="A43:G67" totalsRowShown="0" headerRowDxfId="2" dataDxfId="1">
  <autoFilter ref="A43:G67" xr:uid="{A5D983AE-3BE3-8A41-A116-484E67933263}"/>
  <tableColumns count="7">
    <tableColumn id="1" xr3:uid="{993098B7-BB92-E141-BB2E-61000F9FB179}" name="Malzeme Numarası" dataDxfId="8"/>
    <tableColumn id="2" xr3:uid="{579CB2CD-7384-A14A-A061-39C633D238AB}" name="Malzeme Adı" dataDxfId="7"/>
    <tableColumn id="3" xr3:uid="{0FC60F92-9B64-194E-B3C2-50A36C6768F0}" name="Malzeme Türü" dataDxfId="6"/>
    <tableColumn id="4" xr3:uid="{36501FC9-70C0-F64B-A8EA-242AECB3A9FB}" name="Alınacak Adet" dataDxfId="5"/>
    <tableColumn id="5" xr3:uid="{958F9377-1476-484A-9583-C3A9F3886FD7}" name="Malzeme Tanımı ve Özellikleri" dataDxfId="0"/>
    <tableColumn id="6" xr3:uid="{B41A0CCF-651D-A241-BDA9-F9BFEC48EF35}" name="Satın Alma Linki" dataDxfId="4" dataCellStyle="Hyperlink"/>
    <tableColumn id="7" xr3:uid="{E366265D-AB35-E345-A8D8-36CD86DB70A1}" name="Kullanım / Not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tomasyoncu.net/urun/1-5-modul-pinyon-20-dis" TargetMode="External"/><Relationship Id="rId18" Type="http://schemas.openxmlformats.org/officeDocument/2006/relationships/hyperlink" Target="https://www.hirdavat39.com/urun/paslanmaz-a2-celik-civata-din-933-m12x30-8018?srsltid=AfmBOoq3z0kkv26DcIG9_aPB9ukcZtD6NfWgeC_9jAAM18hftEyxLCl3_Nc" TargetMode="External"/><Relationship Id="rId26" Type="http://schemas.openxmlformats.org/officeDocument/2006/relationships/hyperlink" Target="https://www.3dprintermarketi.com/filamix-hyper-pla-filament-cyan/" TargetMode="External"/><Relationship Id="rId39" Type="http://schemas.openxmlformats.org/officeDocument/2006/relationships/hyperlink" Target="https://www.e-komponent.com/benewake-tfa50-l-single-point-lidar" TargetMode="External"/><Relationship Id="rId21" Type="http://schemas.openxmlformats.org/officeDocument/2006/relationships/hyperlink" Target="https://www.demseyotomasyon.com/mean-well-rsp-500-24-rsp50024-24vdc-21.0amp?srsltid=AfmBOop118Ptot3mC1vjyXX_SIfhdJARB3hFPcC8FxMIEuaAxiUwW_-6" TargetMode="External"/><Relationship Id="rId34" Type="http://schemas.openxmlformats.org/officeDocument/2006/relationships/hyperlink" Target="https://www.cnc-marketi.com/urun/nema23-step-motor-tutucu-braket-alumiyum-monoblok" TargetMode="External"/><Relationship Id="rId7" Type="http://schemas.openxmlformats.org/officeDocument/2006/relationships/hyperlink" Target="https://www.direnc.net/rotary-encoder-e6b2-cwz6c-1000-pulse" TargetMode="External"/><Relationship Id="rId2" Type="http://schemas.openxmlformats.org/officeDocument/2006/relationships/hyperlink" Target="https://www.robolinkmarket.com/raspberry-pi-pico" TargetMode="External"/><Relationship Id="rId16" Type="http://schemas.openxmlformats.org/officeDocument/2006/relationships/hyperlink" Target="https://www.trendyol.com/prc/6205-zz-rulman-25x52x15-p-861600111?boutiqueId=61&amp;merchantId=125694" TargetMode="External"/><Relationship Id="rId20" Type="http://schemas.openxmlformats.org/officeDocument/2006/relationships/hyperlink" Target="https://www.amazon.com.tr/SN65HVD230-Mod%C3%BCl%C3%BC-11898-Mbps-3-3V/dp/B09KNLDQ5D?source=ps-sl-shoppingads-lpcontext&amp;ref_=fplfs&amp;psc=1&amp;smid=A3H8GBTYKA4OEW" TargetMode="External"/><Relationship Id="rId29" Type="http://schemas.openxmlformats.org/officeDocument/2006/relationships/hyperlink" Target="https://www.izmiravmarket.com/urun/isg-airsoft-lityum-iyon-pil-7-4v-2500-mah-t-plug" TargetMode="External"/><Relationship Id="rId41" Type="http://schemas.openxmlformats.org/officeDocument/2006/relationships/table" Target="../tables/table2.xml"/><Relationship Id="rId1" Type="http://schemas.openxmlformats.org/officeDocument/2006/relationships/hyperlink" Target="https://market.samm.com/raspberry-pi-5" TargetMode="External"/><Relationship Id="rId6" Type="http://schemas.openxmlformats.org/officeDocument/2006/relationships/hyperlink" Target="https://www.robolinkmarket.com/dm542-45a-step-motor-surucu?srsltid=AfmBOooZQknsPT0-5jYFg9N4h1AISXjgK_r4Tb8vgbGVXSp7b28UkC02" TargetMode="External"/><Relationship Id="rId11" Type="http://schemas.openxmlformats.org/officeDocument/2006/relationships/hyperlink" Target="https://www.robotistan.com/40x40x10mm-fan-24v-0-eng" TargetMode="External"/><Relationship Id="rId24" Type="http://schemas.openxmlformats.org/officeDocument/2006/relationships/hyperlink" Target="https://www.3dprintermarketi.com/creality-ender-pla-plus-filament-kirmizi-1-75mm-1kg/" TargetMode="External"/><Relationship Id="rId32" Type="http://schemas.openxmlformats.org/officeDocument/2006/relationships/hyperlink" Target="https://www.trendyol.com/mr-bracket/2-ad-metal-ayarli-agir-yuk-deprem-dolap-sabitleme-aparati-seti-mobilya-gardirop-duvar-sabitleyici-p-810505100?boutiqueId=61&amp;merchantId=597178" TargetMode="External"/><Relationship Id="rId37" Type="http://schemas.openxmlformats.org/officeDocument/2006/relationships/hyperlink" Target="https://www.robotistan.com/ic171-uzun-makarali-mikrosvic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www.cncdunyasi.com/urun/jkontek-0-4-nm-nema-17-step-motor-eo42-04" TargetMode="External"/><Relationship Id="rId15" Type="http://schemas.openxmlformats.org/officeDocument/2006/relationships/hyperlink" Target="https://www.hepsiburada.com/gmax-0-25gr-1-kg-6mm-plastik-airsoft-bb-yuksek-cikis-hizi-ile-hassas-oyun-deneyimi-sunar-p-HBCV00005Q2SC3?magaza=Rex%20Outdoor" TargetMode="External"/><Relationship Id="rId23" Type="http://schemas.openxmlformats.org/officeDocument/2006/relationships/hyperlink" Target="https://www.prestijelektromarket.com.tr/urun/lp1k1210bd-12a-5-5-kw-24vdc-bobinli-1no-mini-kontaktor" TargetMode="External"/><Relationship Id="rId28" Type="http://schemas.openxmlformats.org/officeDocument/2006/relationships/hyperlink" Target="https://www.robocombo.com/imax-b3-pro-1s-3s-lipo-sarj-aleti-3533?srsltid=AfmBOorauumcdzfd-ink_qdXCG-UrAnogUXSrE5v7fnMzj4wxP_n7RRg" TargetMode="External"/><Relationship Id="rId36" Type="http://schemas.openxmlformats.org/officeDocument/2006/relationships/hyperlink" Target="https://www.direnc.net/tam-izoleli-disi-faston-tip-kablo-ucu-635mm-kirmizi-10-adet" TargetMode="External"/><Relationship Id="rId10" Type="http://schemas.openxmlformats.org/officeDocument/2006/relationships/hyperlink" Target="https://www.motorobit.com/yl-314-c-t-24v-40a-otomotiv-rolesi-5-pin" TargetMode="External"/><Relationship Id="rId19" Type="http://schemas.openxmlformats.org/officeDocument/2006/relationships/hyperlink" Target="https://www.robotronik.com.tr/dc-dc-voltaj-dusurucu-gerilim-azaltici-300w-20a-step-down-a0180" TargetMode="External"/><Relationship Id="rId31" Type="http://schemas.openxmlformats.org/officeDocument/2006/relationships/hyperlink" Target="https://www.cnc-marketi.com/urun/shf-25-mil-tutucu" TargetMode="External"/><Relationship Id="rId4" Type="http://schemas.openxmlformats.org/officeDocument/2006/relationships/hyperlink" Target="https://www.meonotomasyon.com/urun/2-3-nm-nema23-step-motor-eo57-23-jkon-tek?srsltid=AfmBOooTnAheIPMagEAI9uHtbg_YlB2jzsv9NN3J0yh3ozYl1mMfkw7k" TargetMode="External"/><Relationship Id="rId9" Type="http://schemas.openxmlformats.org/officeDocument/2006/relationships/hyperlink" Target="https://www.kahramanelektromarket.com/urun/gwest-lay2-kse542e-kutulu-acil-stop-buton" TargetMode="External"/><Relationship Id="rId14" Type="http://schemas.openxmlformats.org/officeDocument/2006/relationships/hyperlink" Target="https://www.izmiravmarket.com/urun/novritsch-hi-capa-magazine-v3-spring-set-v3-sarjor-yay-seti-p5031" TargetMode="External"/><Relationship Id="rId22" Type="http://schemas.openxmlformats.org/officeDocument/2006/relationships/hyperlink" Target="https://www.robotistan.com/raspberry-pi-ai-hat" TargetMode="External"/><Relationship Id="rId27" Type="http://schemas.openxmlformats.org/officeDocument/2006/relationships/hyperlink" Target="https://www.3dprintermarketi.com/creality-cr-petg-siyah-filament-1-75mm-1kg/" TargetMode="External"/><Relationship Id="rId30" Type="http://schemas.openxmlformats.org/officeDocument/2006/relationships/hyperlink" Target="https://www.cnc-marketi.com/urun/25-mm-krom-kapli-induksiyonlu-taslanmis-mil" TargetMode="External"/><Relationship Id="rId35" Type="http://schemas.openxmlformats.org/officeDocument/2006/relationships/hyperlink" Target="https://www.direnc.net/1n4007-diyot-mic" TargetMode="External"/><Relationship Id="rId8" Type="http://schemas.openxmlformats.org/officeDocument/2006/relationships/hyperlink" Target="https://www.robotistan.com/raspberrypi-camera-module" TargetMode="External"/><Relationship Id="rId3" Type="http://schemas.openxmlformats.org/officeDocument/2006/relationships/hyperlink" Target="https://www.robotronik.com.tr/24v-12v-dan-5v-a-5a-step-down-voltaj-dusurucu-modulu-a0324" TargetMode="External"/><Relationship Id="rId12" Type="http://schemas.openxmlformats.org/officeDocument/2006/relationships/hyperlink" Target="https://www.3dprintermarketi.com/" TargetMode="External"/><Relationship Id="rId17" Type="http://schemas.openxmlformats.org/officeDocument/2006/relationships/hyperlink" Target="https://www.cnc-marketi.com/urun/ff-25-vidali-mil-uc-yatagi" TargetMode="External"/><Relationship Id="rId25" Type="http://schemas.openxmlformats.org/officeDocument/2006/relationships/hyperlink" Target="https://www.3dprintermarketi.com/filamix-pla-plus-pla-filament-1-75-mm-1-kg-acik-kahverengi/" TargetMode="External"/><Relationship Id="rId33" Type="http://schemas.openxmlformats.org/officeDocument/2006/relationships/hyperlink" Target="https://www.trendyol.com/yapikan/2-ad-l-demir-gonye-kosebent-2x40x40x200mm-deprem-mobilya-dolap-sabitleme-kose-birlestirme-aparati-p-101408885" TargetMode="External"/><Relationship Id="rId38" Type="http://schemas.openxmlformats.org/officeDocument/2006/relationships/hyperlink" Target="https://www.izmiravmarket.com/urun/aps-per701-phantom-extremis-emk1-carbine-airsoft-tufek-siyah-sdu2-0-e-silver-edge-per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3261-7B14-9B47-95E3-BA38785196A4}">
  <dimension ref="A1:G67"/>
  <sheetViews>
    <sheetView tabSelected="1" topLeftCell="A18" zoomScale="75" workbookViewId="0">
      <selection activeCell="F65" sqref="F65"/>
    </sheetView>
  </sheetViews>
  <sheetFormatPr baseColWidth="10" defaultRowHeight="16" x14ac:dyDescent="0.2"/>
  <cols>
    <col min="1" max="1" width="18.83203125" customWidth="1"/>
    <col min="2" max="2" width="40" customWidth="1"/>
    <col min="3" max="3" width="28.5" customWidth="1"/>
    <col min="4" max="4" width="20.6640625" customWidth="1"/>
    <col min="5" max="5" width="62.1640625" customWidth="1"/>
    <col min="6" max="6" width="48.83203125" customWidth="1"/>
    <col min="7" max="7" width="72.1640625" customWidth="1"/>
  </cols>
  <sheetData>
    <row r="1" spans="1:7" ht="17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">
      <c r="A2" s="5">
        <v>1</v>
      </c>
      <c r="B2" s="6" t="s">
        <v>7</v>
      </c>
      <c r="C2" s="7" t="s">
        <v>8</v>
      </c>
      <c r="D2" s="8" t="s">
        <v>9</v>
      </c>
      <c r="E2" s="8">
        <v>1</v>
      </c>
      <c r="F2" s="9" t="s">
        <v>7</v>
      </c>
      <c r="G2" s="7" t="s">
        <v>10</v>
      </c>
    </row>
    <row r="3" spans="1:7" x14ac:dyDescent="0.2">
      <c r="A3" s="10">
        <v>2</v>
      </c>
      <c r="B3" s="11" t="s">
        <v>11</v>
      </c>
      <c r="C3" s="12" t="s">
        <v>8</v>
      </c>
      <c r="D3" s="8" t="s">
        <v>9</v>
      </c>
      <c r="E3" s="13">
        <v>2</v>
      </c>
      <c r="F3" s="14" t="s">
        <v>11</v>
      </c>
      <c r="G3" s="12" t="s">
        <v>12</v>
      </c>
    </row>
    <row r="4" spans="1:7" x14ac:dyDescent="0.2">
      <c r="A4" s="10">
        <v>3</v>
      </c>
      <c r="B4" s="11" t="s">
        <v>13</v>
      </c>
      <c r="C4" s="12" t="s">
        <v>14</v>
      </c>
      <c r="D4" s="8" t="s">
        <v>9</v>
      </c>
      <c r="E4" s="13">
        <v>1</v>
      </c>
      <c r="F4" s="14" t="s">
        <v>13</v>
      </c>
      <c r="G4" s="12" t="s">
        <v>15</v>
      </c>
    </row>
    <row r="5" spans="1:7" x14ac:dyDescent="0.2">
      <c r="A5" s="10">
        <v>4</v>
      </c>
      <c r="B5" s="11" t="s">
        <v>16</v>
      </c>
      <c r="C5" s="15" t="s">
        <v>14</v>
      </c>
      <c r="D5" s="8" t="s">
        <v>9</v>
      </c>
      <c r="E5" s="13">
        <v>2</v>
      </c>
      <c r="F5" s="14" t="s">
        <v>17</v>
      </c>
      <c r="G5" s="15" t="s">
        <v>18</v>
      </c>
    </row>
    <row r="6" spans="1:7" x14ac:dyDescent="0.2">
      <c r="A6" s="10">
        <v>5</v>
      </c>
      <c r="B6" s="16" t="s">
        <v>19</v>
      </c>
      <c r="C6" s="15" t="s">
        <v>14</v>
      </c>
      <c r="D6" s="8" t="s">
        <v>9</v>
      </c>
      <c r="E6" s="13">
        <v>1</v>
      </c>
      <c r="F6" s="14" t="s">
        <v>20</v>
      </c>
      <c r="G6" s="17" t="s">
        <v>21</v>
      </c>
    </row>
    <row r="7" spans="1:7" x14ac:dyDescent="0.2">
      <c r="A7" s="10">
        <v>6</v>
      </c>
      <c r="B7" s="16" t="s">
        <v>22</v>
      </c>
      <c r="C7" s="15" t="s">
        <v>23</v>
      </c>
      <c r="D7" s="8" t="s">
        <v>9</v>
      </c>
      <c r="E7" s="13">
        <v>2</v>
      </c>
      <c r="F7" s="14" t="s">
        <v>22</v>
      </c>
      <c r="G7" s="17" t="s">
        <v>24</v>
      </c>
    </row>
    <row r="8" spans="1:7" x14ac:dyDescent="0.2">
      <c r="A8" s="10">
        <v>7</v>
      </c>
      <c r="B8" s="16" t="s">
        <v>25</v>
      </c>
      <c r="C8" s="15" t="s">
        <v>23</v>
      </c>
      <c r="D8" s="13" t="s">
        <v>26</v>
      </c>
      <c r="E8" s="13">
        <v>0</v>
      </c>
      <c r="F8" s="14" t="s">
        <v>25</v>
      </c>
      <c r="G8" s="15" t="s">
        <v>27</v>
      </c>
    </row>
    <row r="9" spans="1:7" x14ac:dyDescent="0.2">
      <c r="A9" s="10">
        <v>8</v>
      </c>
      <c r="B9" s="16" t="s">
        <v>28</v>
      </c>
      <c r="C9" s="15" t="s">
        <v>23</v>
      </c>
      <c r="D9" s="8" t="s">
        <v>9</v>
      </c>
      <c r="E9" s="13">
        <v>3</v>
      </c>
      <c r="F9" s="14" t="s">
        <v>28</v>
      </c>
      <c r="G9" s="15" t="s">
        <v>29</v>
      </c>
    </row>
    <row r="10" spans="1:7" x14ac:dyDescent="0.2">
      <c r="A10" s="10">
        <v>9</v>
      </c>
      <c r="B10" s="16" t="s">
        <v>30</v>
      </c>
      <c r="C10" s="15" t="s">
        <v>31</v>
      </c>
      <c r="D10" s="13" t="s">
        <v>32</v>
      </c>
      <c r="E10" s="13">
        <v>2</v>
      </c>
      <c r="F10" s="14" t="s">
        <v>30</v>
      </c>
      <c r="G10" s="15" t="s">
        <v>33</v>
      </c>
    </row>
    <row r="11" spans="1:7" x14ac:dyDescent="0.2">
      <c r="A11" s="10">
        <v>10</v>
      </c>
      <c r="B11" s="16" t="s">
        <v>34</v>
      </c>
      <c r="C11" s="15" t="s">
        <v>31</v>
      </c>
      <c r="D11" s="8" t="s">
        <v>9</v>
      </c>
      <c r="E11" s="13">
        <v>1</v>
      </c>
      <c r="F11" s="14" t="s">
        <v>34</v>
      </c>
      <c r="G11" s="15" t="s">
        <v>35</v>
      </c>
    </row>
    <row r="12" spans="1:7" x14ac:dyDescent="0.2">
      <c r="A12" s="10">
        <v>11</v>
      </c>
      <c r="B12" s="16" t="s">
        <v>36</v>
      </c>
      <c r="C12" s="15" t="s">
        <v>31</v>
      </c>
      <c r="D12" s="8" t="s">
        <v>9</v>
      </c>
      <c r="E12" s="13">
        <v>1</v>
      </c>
      <c r="F12" s="14" t="s">
        <v>37</v>
      </c>
      <c r="G12" s="15" t="s">
        <v>38</v>
      </c>
    </row>
    <row r="13" spans="1:7" x14ac:dyDescent="0.2">
      <c r="A13" s="10">
        <v>12</v>
      </c>
      <c r="B13" s="16" t="s">
        <v>39</v>
      </c>
      <c r="C13" s="15" t="s">
        <v>40</v>
      </c>
      <c r="D13" s="8" t="s">
        <v>9</v>
      </c>
      <c r="E13" s="13">
        <v>1</v>
      </c>
      <c r="F13" s="14" t="s">
        <v>39</v>
      </c>
      <c r="G13" s="17" t="s">
        <v>41</v>
      </c>
    </row>
    <row r="14" spans="1:7" x14ac:dyDescent="0.2">
      <c r="A14" s="10">
        <v>13</v>
      </c>
      <c r="B14" s="16" t="s">
        <v>42</v>
      </c>
      <c r="C14" s="15" t="s">
        <v>40</v>
      </c>
      <c r="D14" s="13"/>
      <c r="E14" s="13">
        <v>0</v>
      </c>
      <c r="F14" s="14" t="s">
        <v>42</v>
      </c>
      <c r="G14" s="17" t="s">
        <v>43</v>
      </c>
    </row>
    <row r="15" spans="1:7" x14ac:dyDescent="0.2">
      <c r="A15" s="10">
        <v>14</v>
      </c>
      <c r="B15" s="16" t="s">
        <v>44</v>
      </c>
      <c r="C15" s="15" t="s">
        <v>40</v>
      </c>
      <c r="D15" s="8" t="s">
        <v>9</v>
      </c>
      <c r="E15" s="13">
        <v>1</v>
      </c>
      <c r="F15" s="14" t="s">
        <v>45</v>
      </c>
      <c r="G15" s="17" t="s">
        <v>46</v>
      </c>
    </row>
    <row r="16" spans="1:7" x14ac:dyDescent="0.2">
      <c r="A16" s="10">
        <v>15</v>
      </c>
      <c r="B16" s="16" t="s">
        <v>47</v>
      </c>
      <c r="C16" s="15" t="s">
        <v>48</v>
      </c>
      <c r="D16" s="13" t="s">
        <v>26</v>
      </c>
      <c r="E16" s="13">
        <v>0</v>
      </c>
      <c r="F16" s="14" t="s">
        <v>49</v>
      </c>
      <c r="G16" s="15" t="s">
        <v>50</v>
      </c>
    </row>
    <row r="17" spans="1:7" x14ac:dyDescent="0.2">
      <c r="A17" s="10">
        <v>16</v>
      </c>
      <c r="B17" s="16" t="s">
        <v>51</v>
      </c>
      <c r="C17" s="15" t="s">
        <v>40</v>
      </c>
      <c r="D17" s="8" t="s">
        <v>9</v>
      </c>
      <c r="E17" s="13">
        <v>2</v>
      </c>
      <c r="F17" s="14" t="s">
        <v>51</v>
      </c>
      <c r="G17" s="15" t="s">
        <v>52</v>
      </c>
    </row>
    <row r="18" spans="1:7" x14ac:dyDescent="0.2">
      <c r="A18" s="10">
        <v>17</v>
      </c>
      <c r="B18" s="16" t="s">
        <v>53</v>
      </c>
      <c r="C18" s="15" t="s">
        <v>54</v>
      </c>
      <c r="D18" s="8" t="s">
        <v>9</v>
      </c>
      <c r="E18" s="13">
        <v>2</v>
      </c>
      <c r="F18" s="14" t="s">
        <v>53</v>
      </c>
      <c r="G18" s="15" t="s">
        <v>55</v>
      </c>
    </row>
    <row r="19" spans="1:7" x14ac:dyDescent="0.2">
      <c r="A19" s="10">
        <v>18</v>
      </c>
      <c r="B19" s="16" t="s">
        <v>56</v>
      </c>
      <c r="C19" s="15" t="s">
        <v>54</v>
      </c>
      <c r="D19" s="8" t="s">
        <v>9</v>
      </c>
      <c r="E19" s="13">
        <v>2</v>
      </c>
      <c r="F19" s="14" t="s">
        <v>56</v>
      </c>
      <c r="G19" s="15" t="s">
        <v>57</v>
      </c>
    </row>
    <row r="20" spans="1:7" x14ac:dyDescent="0.2">
      <c r="A20" s="10">
        <v>19</v>
      </c>
      <c r="B20" s="16" t="s">
        <v>58</v>
      </c>
      <c r="C20" s="15" t="s">
        <v>54</v>
      </c>
      <c r="D20" s="8" t="s">
        <v>9</v>
      </c>
      <c r="E20" s="13">
        <v>1</v>
      </c>
      <c r="F20" s="14" t="s">
        <v>58</v>
      </c>
      <c r="G20" s="15" t="s">
        <v>59</v>
      </c>
    </row>
    <row r="21" spans="1:7" x14ac:dyDescent="0.2">
      <c r="A21" s="10">
        <v>20</v>
      </c>
      <c r="B21" s="16" t="s">
        <v>60</v>
      </c>
      <c r="C21" s="15" t="s">
        <v>54</v>
      </c>
      <c r="D21" s="8"/>
      <c r="E21" s="13">
        <v>0</v>
      </c>
      <c r="F21" s="18" t="s">
        <v>60</v>
      </c>
      <c r="G21" s="15" t="s">
        <v>61</v>
      </c>
    </row>
    <row r="22" spans="1:7" x14ac:dyDescent="0.2">
      <c r="A22" s="10">
        <v>21</v>
      </c>
      <c r="B22" s="16" t="s">
        <v>62</v>
      </c>
      <c r="C22" s="15" t="s">
        <v>54</v>
      </c>
      <c r="D22" s="8" t="s">
        <v>9</v>
      </c>
      <c r="E22" s="13">
        <v>1</v>
      </c>
      <c r="F22" s="14" t="s">
        <v>63</v>
      </c>
      <c r="G22" s="15" t="s">
        <v>64</v>
      </c>
    </row>
    <row r="23" spans="1:7" x14ac:dyDescent="0.2">
      <c r="A23" s="10">
        <v>22</v>
      </c>
      <c r="B23" s="16" t="s">
        <v>65</v>
      </c>
      <c r="C23" s="15" t="s">
        <v>54</v>
      </c>
      <c r="D23" s="13" t="s">
        <v>66</v>
      </c>
      <c r="E23" s="13">
        <v>0</v>
      </c>
      <c r="F23" s="13" t="s">
        <v>67</v>
      </c>
      <c r="G23" s="15" t="s">
        <v>67</v>
      </c>
    </row>
    <row r="24" spans="1:7" x14ac:dyDescent="0.2">
      <c r="A24" s="10">
        <v>23</v>
      </c>
      <c r="B24" s="16" t="s">
        <v>68</v>
      </c>
      <c r="C24" s="15" t="s">
        <v>69</v>
      </c>
      <c r="D24" s="13" t="s">
        <v>66</v>
      </c>
      <c r="E24" s="13">
        <v>2</v>
      </c>
      <c r="F24" s="14" t="s">
        <v>68</v>
      </c>
      <c r="G24" s="15" t="s">
        <v>70</v>
      </c>
    </row>
    <row r="25" spans="1:7" x14ac:dyDescent="0.2">
      <c r="A25" s="10">
        <v>24</v>
      </c>
      <c r="B25" s="16" t="s">
        <v>71</v>
      </c>
      <c r="C25" s="15" t="s">
        <v>69</v>
      </c>
      <c r="D25" s="13" t="s">
        <v>26</v>
      </c>
      <c r="E25" s="13">
        <v>0</v>
      </c>
      <c r="F25" s="14" t="s">
        <v>72</v>
      </c>
      <c r="G25" s="19" t="s">
        <v>67</v>
      </c>
    </row>
    <row r="26" spans="1:7" x14ac:dyDescent="0.2">
      <c r="A26" s="10">
        <v>25</v>
      </c>
      <c r="B26" s="16" t="s">
        <v>73</v>
      </c>
      <c r="C26" s="15" t="s">
        <v>69</v>
      </c>
      <c r="D26" s="8" t="s">
        <v>9</v>
      </c>
      <c r="E26" s="13">
        <v>1</v>
      </c>
      <c r="F26" s="14" t="s">
        <v>74</v>
      </c>
      <c r="G26" s="15" t="s">
        <v>75</v>
      </c>
    </row>
    <row r="27" spans="1:7" x14ac:dyDescent="0.2">
      <c r="A27" s="10">
        <v>26</v>
      </c>
      <c r="B27" s="16" t="s">
        <v>76</v>
      </c>
      <c r="C27" s="15" t="s">
        <v>69</v>
      </c>
      <c r="D27" s="13" t="s">
        <v>77</v>
      </c>
      <c r="E27" s="13">
        <v>3</v>
      </c>
      <c r="F27" s="14" t="s">
        <v>78</v>
      </c>
      <c r="G27" s="15" t="s">
        <v>79</v>
      </c>
    </row>
    <row r="28" spans="1:7" x14ac:dyDescent="0.2">
      <c r="A28" s="10">
        <v>27</v>
      </c>
      <c r="B28" s="16" t="s">
        <v>76</v>
      </c>
      <c r="C28" s="15" t="s">
        <v>69</v>
      </c>
      <c r="D28" s="13" t="s">
        <v>80</v>
      </c>
      <c r="E28" s="13">
        <v>1</v>
      </c>
      <c r="F28" s="14" t="s">
        <v>81</v>
      </c>
      <c r="G28" s="15" t="s">
        <v>82</v>
      </c>
    </row>
    <row r="29" spans="1:7" ht="17" thickBot="1" x14ac:dyDescent="0.25">
      <c r="A29" s="10">
        <v>28</v>
      </c>
      <c r="B29" s="20" t="s">
        <v>83</v>
      </c>
      <c r="C29" s="21" t="s">
        <v>69</v>
      </c>
      <c r="D29" s="13" t="s">
        <v>66</v>
      </c>
      <c r="E29" s="22">
        <v>0</v>
      </c>
      <c r="F29" s="23" t="s">
        <v>83</v>
      </c>
      <c r="G29" s="24" t="s">
        <v>84</v>
      </c>
    </row>
    <row r="30" spans="1:7" x14ac:dyDescent="0.2">
      <c r="A30" s="10">
        <v>29</v>
      </c>
      <c r="B30" s="6" t="s">
        <v>85</v>
      </c>
      <c r="C30" s="8" t="s">
        <v>31</v>
      </c>
      <c r="D30" s="13" t="s">
        <v>32</v>
      </c>
      <c r="E30" s="8">
        <v>1</v>
      </c>
      <c r="F30" s="9" t="s">
        <v>85</v>
      </c>
      <c r="G30" s="7" t="s">
        <v>86</v>
      </c>
    </row>
    <row r="31" spans="1:7" x14ac:dyDescent="0.2">
      <c r="A31" s="10">
        <v>30</v>
      </c>
      <c r="B31" s="11" t="s">
        <v>87</v>
      </c>
      <c r="C31" s="25" t="s">
        <v>69</v>
      </c>
      <c r="D31" s="8" t="s">
        <v>9</v>
      </c>
      <c r="E31" s="13">
        <v>1</v>
      </c>
      <c r="F31" s="14" t="s">
        <v>88</v>
      </c>
      <c r="G31" s="12" t="s">
        <v>89</v>
      </c>
    </row>
    <row r="32" spans="1:7" x14ac:dyDescent="0.2">
      <c r="A32" s="10">
        <v>31</v>
      </c>
      <c r="B32" s="11" t="s">
        <v>90</v>
      </c>
      <c r="C32" s="25" t="s">
        <v>69</v>
      </c>
      <c r="D32" s="8" t="s">
        <v>9</v>
      </c>
      <c r="E32" s="13">
        <v>2</v>
      </c>
      <c r="F32" s="14" t="s">
        <v>91</v>
      </c>
      <c r="G32" s="12" t="s">
        <v>92</v>
      </c>
    </row>
    <row r="33" spans="1:7" x14ac:dyDescent="0.2">
      <c r="A33" s="10">
        <v>32</v>
      </c>
      <c r="B33" s="16" t="s">
        <v>93</v>
      </c>
      <c r="C33" s="25" t="s">
        <v>54</v>
      </c>
      <c r="D33" s="13" t="s">
        <v>32</v>
      </c>
      <c r="E33" s="13">
        <v>2</v>
      </c>
      <c r="F33" s="14" t="s">
        <v>93</v>
      </c>
      <c r="G33" s="15" t="s">
        <v>94</v>
      </c>
    </row>
    <row r="34" spans="1:7" x14ac:dyDescent="0.2">
      <c r="A34" s="10">
        <v>33</v>
      </c>
      <c r="B34" s="16" t="s">
        <v>95</v>
      </c>
      <c r="C34" s="25" t="s">
        <v>40</v>
      </c>
      <c r="D34" s="13" t="s">
        <v>32</v>
      </c>
      <c r="E34" s="13">
        <v>10</v>
      </c>
      <c r="F34" s="14" t="s">
        <v>95</v>
      </c>
      <c r="G34" s="15" t="s">
        <v>96</v>
      </c>
    </row>
    <row r="35" spans="1:7" x14ac:dyDescent="0.2">
      <c r="A35" s="10">
        <v>34</v>
      </c>
      <c r="B35" s="16" t="s">
        <v>97</v>
      </c>
      <c r="C35" s="15" t="s">
        <v>69</v>
      </c>
      <c r="D35" s="13" t="s">
        <v>80</v>
      </c>
      <c r="E35" s="13">
        <v>2</v>
      </c>
      <c r="F35" s="14" t="s">
        <v>97</v>
      </c>
      <c r="G35" s="15" t="s">
        <v>98</v>
      </c>
    </row>
    <row r="36" spans="1:7" x14ac:dyDescent="0.2">
      <c r="A36" s="10">
        <v>35</v>
      </c>
      <c r="B36" s="16" t="s">
        <v>99</v>
      </c>
      <c r="C36" s="15" t="s">
        <v>69</v>
      </c>
      <c r="D36" s="13" t="s">
        <v>80</v>
      </c>
      <c r="E36" s="13">
        <v>8</v>
      </c>
      <c r="F36" s="14" t="s">
        <v>99</v>
      </c>
      <c r="G36" s="15" t="s">
        <v>82</v>
      </c>
    </row>
    <row r="37" spans="1:7" x14ac:dyDescent="0.2">
      <c r="A37" s="10">
        <v>36</v>
      </c>
      <c r="B37" s="16" t="s">
        <v>100</v>
      </c>
      <c r="C37" s="15" t="s">
        <v>69</v>
      </c>
      <c r="D37" s="13" t="s">
        <v>80</v>
      </c>
      <c r="E37" s="13">
        <v>1</v>
      </c>
      <c r="F37" s="14" t="s">
        <v>100</v>
      </c>
      <c r="G37" s="15" t="s">
        <v>101</v>
      </c>
    </row>
    <row r="38" spans="1:7" x14ac:dyDescent="0.2">
      <c r="A38" s="10">
        <v>37</v>
      </c>
      <c r="B38" s="16" t="s">
        <v>102</v>
      </c>
      <c r="C38" s="15" t="s">
        <v>69</v>
      </c>
      <c r="D38" s="13" t="s">
        <v>77</v>
      </c>
      <c r="E38" s="13">
        <v>3</v>
      </c>
      <c r="F38" s="14" t="s">
        <v>102</v>
      </c>
      <c r="G38" s="15" t="s">
        <v>103</v>
      </c>
    </row>
    <row r="39" spans="1:7" x14ac:dyDescent="0.2">
      <c r="A39" s="10">
        <v>38</v>
      </c>
      <c r="B39" s="16" t="s">
        <v>104</v>
      </c>
      <c r="C39" s="15" t="s">
        <v>69</v>
      </c>
      <c r="D39" s="13" t="s">
        <v>80</v>
      </c>
      <c r="E39" s="13">
        <v>1</v>
      </c>
      <c r="F39" s="14" t="s">
        <v>104</v>
      </c>
      <c r="G39" s="15" t="s">
        <v>105</v>
      </c>
    </row>
    <row r="40" spans="1:7" x14ac:dyDescent="0.2">
      <c r="A40" s="10">
        <v>39</v>
      </c>
      <c r="B40" s="16" t="s">
        <v>106</v>
      </c>
      <c r="C40" s="15" t="s">
        <v>69</v>
      </c>
      <c r="D40" s="13" t="s">
        <v>80</v>
      </c>
      <c r="E40" s="13">
        <v>1</v>
      </c>
      <c r="F40" s="14" t="s">
        <v>106</v>
      </c>
      <c r="G40" s="15" t="s">
        <v>107</v>
      </c>
    </row>
    <row r="41" spans="1:7" x14ac:dyDescent="0.2">
      <c r="A41" s="10">
        <v>40</v>
      </c>
      <c r="B41" s="20" t="s">
        <v>108</v>
      </c>
      <c r="C41" s="15" t="s">
        <v>69</v>
      </c>
      <c r="D41" s="13" t="s">
        <v>109</v>
      </c>
      <c r="E41" s="22">
        <v>1</v>
      </c>
      <c r="F41" s="26" t="s">
        <v>108</v>
      </c>
      <c r="G41" s="21" t="s">
        <v>110</v>
      </c>
    </row>
    <row r="43" spans="1:7" ht="17" thickBot="1" x14ac:dyDescent="0.25">
      <c r="A43" s="27" t="s">
        <v>0</v>
      </c>
      <c r="B43" s="28" t="s">
        <v>1</v>
      </c>
      <c r="C43" s="29" t="s">
        <v>2</v>
      </c>
      <c r="D43" s="30" t="s">
        <v>118</v>
      </c>
      <c r="E43" s="31" t="s">
        <v>6</v>
      </c>
      <c r="F43" s="38" t="s">
        <v>119</v>
      </c>
      <c r="G43" s="38" t="s">
        <v>120</v>
      </c>
    </row>
    <row r="44" spans="1:7" x14ac:dyDescent="0.2">
      <c r="A44" s="32">
        <v>1</v>
      </c>
      <c r="B44" s="33" t="s">
        <v>121</v>
      </c>
      <c r="C44" s="34" t="s">
        <v>122</v>
      </c>
      <c r="D44" s="35">
        <v>1</v>
      </c>
      <c r="E44" s="42" t="s">
        <v>123</v>
      </c>
      <c r="F44" s="39"/>
      <c r="G44" s="39" t="s">
        <v>124</v>
      </c>
    </row>
    <row r="45" spans="1:7" x14ac:dyDescent="0.2">
      <c r="A45" s="36">
        <v>2</v>
      </c>
      <c r="B45" s="33" t="s">
        <v>125</v>
      </c>
      <c r="C45" s="34" t="s">
        <v>122</v>
      </c>
      <c r="D45" s="35">
        <v>1</v>
      </c>
      <c r="E45" s="42" t="s">
        <v>126</v>
      </c>
      <c r="F45" s="39"/>
      <c r="G45" s="39" t="s">
        <v>127</v>
      </c>
    </row>
    <row r="46" spans="1:7" x14ac:dyDescent="0.2">
      <c r="A46" s="37">
        <v>3</v>
      </c>
      <c r="B46" s="33" t="s">
        <v>111</v>
      </c>
      <c r="C46" s="34" t="s">
        <v>128</v>
      </c>
      <c r="D46" s="35">
        <v>1</v>
      </c>
      <c r="E46" s="42" t="s">
        <v>129</v>
      </c>
      <c r="F46" s="39"/>
      <c r="G46" s="39" t="s">
        <v>130</v>
      </c>
    </row>
    <row r="47" spans="1:7" x14ac:dyDescent="0.2">
      <c r="A47" s="36">
        <v>4</v>
      </c>
      <c r="B47" s="34" t="s">
        <v>131</v>
      </c>
      <c r="C47" s="34" t="s">
        <v>132</v>
      </c>
      <c r="D47" s="35">
        <v>1</v>
      </c>
      <c r="E47" s="42" t="s">
        <v>133</v>
      </c>
      <c r="F47" s="40" t="str">
        <f>HYPERLINK("https://www.yapotomasyon.com/urun/siemens-3sk1111-1ab30-standart-emniyet","Ürün bağlantısı")</f>
        <v>Ürün bağlantısı</v>
      </c>
      <c r="G47" s="39" t="s">
        <v>134</v>
      </c>
    </row>
    <row r="48" spans="1:7" x14ac:dyDescent="0.2">
      <c r="A48" s="37">
        <v>5</v>
      </c>
      <c r="B48" s="33" t="s">
        <v>135</v>
      </c>
      <c r="C48" s="34" t="s">
        <v>132</v>
      </c>
      <c r="D48" s="35">
        <v>1</v>
      </c>
      <c r="E48" s="42" t="s">
        <v>136</v>
      </c>
      <c r="F48" s="40" t="str">
        <f>HYPERLINK("https://www.krcelektromarket.com/gwest-6102-stop-kontak-1-nk","Ürün bağlantısı")</f>
        <v>Ürün bağlantısı</v>
      </c>
      <c r="G48" s="39" t="s">
        <v>137</v>
      </c>
    </row>
    <row r="49" spans="1:7" x14ac:dyDescent="0.2">
      <c r="A49" s="36">
        <v>6</v>
      </c>
      <c r="B49" s="33" t="s">
        <v>138</v>
      </c>
      <c r="C49" s="34" t="s">
        <v>132</v>
      </c>
      <c r="D49" s="35">
        <v>1</v>
      </c>
      <c r="E49" s="42" t="s">
        <v>139</v>
      </c>
      <c r="F49" s="40" t="str">
        <f>HYPERLINK("https://anelelektromarket.com/schneider-lp1k1201bd-55-kw-3na1nk-24-vdc-kontaktor","Ürün bağlantısı")</f>
        <v>Ürün bağlantısı</v>
      </c>
      <c r="G49" s="39" t="s">
        <v>140</v>
      </c>
    </row>
    <row r="50" spans="1:7" x14ac:dyDescent="0.2">
      <c r="A50" s="37">
        <v>7</v>
      </c>
      <c r="B50" s="33" t="s">
        <v>141</v>
      </c>
      <c r="C50" s="34" t="s">
        <v>132</v>
      </c>
      <c r="D50" s="35">
        <v>1</v>
      </c>
      <c r="E50" s="42" t="s">
        <v>142</v>
      </c>
      <c r="F50" s="40" t="str">
        <f>HYPERLINK("https://www.merterelektronik.com/reset-butonu-220-v-10-amper-mr1","Ürün bağlantısı")</f>
        <v>Ürün bağlantısı</v>
      </c>
      <c r="G50" s="39" t="s">
        <v>143</v>
      </c>
    </row>
    <row r="51" spans="1:7" x14ac:dyDescent="0.2">
      <c r="A51" s="36">
        <v>8</v>
      </c>
      <c r="B51" s="33" t="s">
        <v>144</v>
      </c>
      <c r="C51" s="34" t="s">
        <v>132</v>
      </c>
      <c r="D51" s="35">
        <v>1</v>
      </c>
      <c r="E51" s="42" t="s">
        <v>145</v>
      </c>
      <c r="F51" s="40" t="str">
        <f>HYPERLINK("https://www.endustriyelmarket.com/schneider-electric-la4ke1b-tesys-k-supresor-modulu-varistor-12","Ürün bağlantısı")</f>
        <v>Ürün bağlantısı</v>
      </c>
      <c r="G51" s="39" t="s">
        <v>146</v>
      </c>
    </row>
    <row r="52" spans="1:7" x14ac:dyDescent="0.2">
      <c r="A52" s="37">
        <v>9</v>
      </c>
      <c r="B52" s="33" t="s">
        <v>147</v>
      </c>
      <c r="C52" s="34" t="s">
        <v>148</v>
      </c>
      <c r="D52" s="35">
        <v>1</v>
      </c>
      <c r="E52" s="42" t="s">
        <v>149</v>
      </c>
      <c r="F52" s="39"/>
      <c r="G52" s="39" t="s">
        <v>150</v>
      </c>
    </row>
    <row r="53" spans="1:7" x14ac:dyDescent="0.2">
      <c r="A53" s="36">
        <v>10</v>
      </c>
      <c r="B53" s="33" t="s">
        <v>151</v>
      </c>
      <c r="C53" s="34" t="s">
        <v>152</v>
      </c>
      <c r="D53" s="35">
        <v>1</v>
      </c>
      <c r="E53" s="42" t="s">
        <v>153</v>
      </c>
      <c r="F53" s="40" t="str">
        <f>HYPERLINK("https://www.robotistan.com/lipo-tplug-erkek-disi-konnektor-14awg","Ürün bağlantısı")</f>
        <v>Ürün bağlantısı</v>
      </c>
      <c r="G53" s="39" t="s">
        <v>154</v>
      </c>
    </row>
    <row r="54" spans="1:7" x14ac:dyDescent="0.2">
      <c r="A54" s="37">
        <v>11</v>
      </c>
      <c r="B54" s="33" t="s">
        <v>155</v>
      </c>
      <c r="C54" s="34" t="s">
        <v>152</v>
      </c>
      <c r="D54" s="35">
        <v>2</v>
      </c>
      <c r="E54" s="42" t="s">
        <v>153</v>
      </c>
      <c r="F54" s="40" t="str">
        <f>HYPERLINK("https://www.hiber.com.tr/xt60-pigtail-erkek-disi-konnektor-kablosu","Ürün bağlantısı")</f>
        <v>Ürün bağlantısı</v>
      </c>
      <c r="G54" s="39" t="s">
        <v>156</v>
      </c>
    </row>
    <row r="55" spans="1:7" x14ac:dyDescent="0.2">
      <c r="A55" s="36">
        <v>12</v>
      </c>
      <c r="B55" s="33" t="s">
        <v>157</v>
      </c>
      <c r="C55" s="34" t="s">
        <v>157</v>
      </c>
      <c r="D55" s="35">
        <v>2</v>
      </c>
      <c r="E55" s="42" t="s">
        <v>158</v>
      </c>
      <c r="F55" s="40" t="str">
        <f>HYPERLINK("https://www.krcelektromarket.com/erse-4x1mm-liycy-sinyal-kablosu-blendajli-m3","Ürün bağlantısı")</f>
        <v>Ürün bağlantısı</v>
      </c>
      <c r="G55" s="39" t="s">
        <v>159</v>
      </c>
    </row>
    <row r="56" spans="1:7" x14ac:dyDescent="0.2">
      <c r="A56" s="37">
        <v>13</v>
      </c>
      <c r="B56" s="33" t="s">
        <v>112</v>
      </c>
      <c r="C56" s="34" t="s">
        <v>160</v>
      </c>
      <c r="D56" s="35">
        <v>4</v>
      </c>
      <c r="E56" s="42" t="s">
        <v>161</v>
      </c>
      <c r="F56" s="40" t="str">
        <f>HYPERLINK("https://www.wago.com/global/installation-terminal-blocks-and-connectors/5-wire-splicing-connector/p/221-415","Ürün bağlantısı")</f>
        <v>Ürün bağlantısı</v>
      </c>
      <c r="G56" s="39" t="s">
        <v>162</v>
      </c>
    </row>
    <row r="57" spans="1:7" x14ac:dyDescent="0.2">
      <c r="A57" s="36">
        <v>14</v>
      </c>
      <c r="B57" s="33" t="s">
        <v>113</v>
      </c>
      <c r="C57" s="34" t="s">
        <v>160</v>
      </c>
      <c r="D57" s="35">
        <v>1</v>
      </c>
      <c r="E57" s="42" t="s">
        <v>163</v>
      </c>
      <c r="F57" s="39"/>
      <c r="G57" s="39" t="s">
        <v>164</v>
      </c>
    </row>
    <row r="58" spans="1:7" x14ac:dyDescent="0.2">
      <c r="A58" s="37">
        <v>15</v>
      </c>
      <c r="B58" s="33" t="s">
        <v>114</v>
      </c>
      <c r="C58" s="34" t="s">
        <v>165</v>
      </c>
      <c r="D58" s="35">
        <v>1</v>
      </c>
      <c r="E58" s="42" t="s">
        <v>166</v>
      </c>
      <c r="F58" s="39"/>
      <c r="G58" s="39" t="s">
        <v>167</v>
      </c>
    </row>
    <row r="59" spans="1:7" x14ac:dyDescent="0.2">
      <c r="A59" s="36">
        <v>16</v>
      </c>
      <c r="B59" s="33" t="s">
        <v>115</v>
      </c>
      <c r="C59" s="34" t="s">
        <v>168</v>
      </c>
      <c r="D59" s="35">
        <v>1</v>
      </c>
      <c r="E59" s="42" t="s">
        <v>169</v>
      </c>
      <c r="F59" s="39"/>
      <c r="G59" s="39" t="s">
        <v>170</v>
      </c>
    </row>
    <row r="60" spans="1:7" x14ac:dyDescent="0.2">
      <c r="A60" s="36">
        <v>17</v>
      </c>
      <c r="B60" s="33" t="s">
        <v>116</v>
      </c>
      <c r="C60" s="34" t="s">
        <v>171</v>
      </c>
      <c r="D60" s="35">
        <v>2</v>
      </c>
      <c r="E60" s="42" t="s">
        <v>172</v>
      </c>
      <c r="F60" s="39"/>
      <c r="G60" s="39" t="s">
        <v>173</v>
      </c>
    </row>
    <row r="61" spans="1:7" x14ac:dyDescent="0.2">
      <c r="A61" s="41">
        <v>18</v>
      </c>
      <c r="B61" s="41" t="s">
        <v>174</v>
      </c>
      <c r="C61" s="41" t="s">
        <v>175</v>
      </c>
      <c r="D61" s="41">
        <v>2</v>
      </c>
      <c r="E61" s="43" t="s">
        <v>176</v>
      </c>
      <c r="F61" s="40" t="str">
        <f>HYPERLINK("https://www.maascoelektrik.com/urun/kablo-toplama-corap-cesitleri-1-metre-10mm-1-metre","Ürün bağlantısı")</f>
        <v>Ürün bağlantısı</v>
      </c>
      <c r="G61" s="39" t="s">
        <v>177</v>
      </c>
    </row>
    <row r="62" spans="1:7" x14ac:dyDescent="0.2">
      <c r="A62" s="41">
        <v>19</v>
      </c>
      <c r="B62" s="41" t="s">
        <v>117</v>
      </c>
      <c r="C62" s="41" t="s">
        <v>178</v>
      </c>
      <c r="D62" s="41">
        <v>1</v>
      </c>
      <c r="E62" s="43" t="s">
        <v>179</v>
      </c>
      <c r="F62" s="40" t="str">
        <f>HYPERLINK("https://www.raspberrypi.com/products/camera-cable/?variant=camera-cable-std-mini-500","Ürün bağlantısı")</f>
        <v>Ürün bağlantısı</v>
      </c>
      <c r="G62" s="39" t="s">
        <v>180</v>
      </c>
    </row>
    <row r="63" spans="1:7" x14ac:dyDescent="0.2">
      <c r="A63" s="41">
        <v>20</v>
      </c>
      <c r="B63" s="41" t="s">
        <v>181</v>
      </c>
      <c r="C63" s="41" t="s">
        <v>182</v>
      </c>
      <c r="D63" s="41">
        <v>1</v>
      </c>
      <c r="E63" s="43" t="s">
        <v>183</v>
      </c>
      <c r="F63" s="39"/>
      <c r="G63" s="39" t="s">
        <v>184</v>
      </c>
    </row>
    <row r="64" spans="1:7" x14ac:dyDescent="0.2">
      <c r="A64" s="41">
        <v>21</v>
      </c>
      <c r="B64" s="41" t="s">
        <v>185</v>
      </c>
      <c r="C64" s="41" t="s">
        <v>186</v>
      </c>
      <c r="D64" s="41">
        <v>3</v>
      </c>
      <c r="E64" s="43" t="s">
        <v>187</v>
      </c>
      <c r="F64" s="40" t="str">
        <f>HYPERLINK("https://www.endustripazar.com/urun/4mm2-mtk-serisi-vida-baglantili-topraklama-ray-klemens-1010220-onka","Ürün bağlantısı")</f>
        <v>Ürün bağlantısı</v>
      </c>
      <c r="G64" s="39" t="s">
        <v>188</v>
      </c>
    </row>
    <row r="65" spans="1:7" x14ac:dyDescent="0.2">
      <c r="A65" s="41">
        <v>22</v>
      </c>
      <c r="B65" s="41" t="s">
        <v>189</v>
      </c>
      <c r="C65" s="41" t="s">
        <v>190</v>
      </c>
      <c r="D65" s="41">
        <v>1</v>
      </c>
      <c r="E65" s="43" t="s">
        <v>191</v>
      </c>
      <c r="F65" s="40" t="str">
        <f>HYPERLINK("https://www.karavanmalzemecim.com/pro-dc-barali-sigorta-kutusu-6li-12v24v-191","Ürün bağlantısı")</f>
        <v>Ürün bağlantısı</v>
      </c>
      <c r="G65" s="39" t="s">
        <v>192</v>
      </c>
    </row>
    <row r="66" spans="1:7" x14ac:dyDescent="0.2">
      <c r="A66" s="41">
        <v>23</v>
      </c>
      <c r="B66" s="41" t="s">
        <v>193</v>
      </c>
      <c r="C66" s="41" t="s">
        <v>190</v>
      </c>
      <c r="D66" s="41">
        <v>1</v>
      </c>
      <c r="E66" s="43" t="s">
        <v>194</v>
      </c>
      <c r="F66" s="40" t="str">
        <f>HYPERLINK("https://www.adamoto.com.tr/urun/100-adet-mini-ve-standart-super-karisik-oto-bicak-sigorta-seti-1a-3a-5a-7-5a-10a-15a-20a-25a-30a-40a","Ürün bağlantısı")</f>
        <v>Ürün bağlantısı</v>
      </c>
      <c r="G66" s="39" t="s">
        <v>195</v>
      </c>
    </row>
    <row r="67" spans="1:7" x14ac:dyDescent="0.2">
      <c r="A67" s="41">
        <v>24</v>
      </c>
      <c r="B67" s="41" t="s">
        <v>196</v>
      </c>
      <c r="C67" s="41" t="s">
        <v>190</v>
      </c>
      <c r="D67" s="41">
        <v>1</v>
      </c>
      <c r="E67" s="43" t="s">
        <v>197</v>
      </c>
      <c r="F67" s="40" t="str">
        <f>HYPERLINK("https://www.adamoto.com.tr/urun/standart-bicak-sigorta-yuvasi-2-5mm-kablolu-kapakli-ic-mekan","Ürün bağlantısı")</f>
        <v>Ürün bağlantısı</v>
      </c>
      <c r="G67" s="39" t="s">
        <v>198</v>
      </c>
    </row>
  </sheetData>
  <hyperlinks>
    <hyperlink ref="F2" r:id="rId1" xr:uid="{F44671C4-EFB6-4D49-A42B-8724689E823E}"/>
    <hyperlink ref="F3" r:id="rId2" xr:uid="{28A4F647-C4C4-A44F-AAF2-E4E1640E6A9D}"/>
    <hyperlink ref="F5" r:id="rId3" xr:uid="{23D5C304-B0E1-BA46-AF1D-311927645660}"/>
    <hyperlink ref="F7" r:id="rId4" xr:uid="{7E880DF3-BBAF-1E4F-8BF6-1E40EA476247}"/>
    <hyperlink ref="F8" r:id="rId5" xr:uid="{4FC0D82E-C832-1B4B-8A6E-75EC16A3781A}"/>
    <hyperlink ref="F9" r:id="rId6" xr:uid="{D066B527-1E70-F94F-8008-85C3A6CCA5CA}"/>
    <hyperlink ref="F10" r:id="rId7" xr:uid="{31047D14-7E3A-DB42-95F7-8D3BAAD2E0DF}"/>
    <hyperlink ref="F12" r:id="rId8" xr:uid="{9C855BC6-1AA0-7143-955D-A5ABD9D7B8E9}"/>
    <hyperlink ref="F13" r:id="rId9" xr:uid="{F049CD49-3D12-2143-A710-8E02841AA7B6}"/>
    <hyperlink ref="F15" r:id="rId10" xr:uid="{BCDF8717-C5C7-D241-B497-A10C8123E086}"/>
    <hyperlink ref="F17" r:id="rId11" xr:uid="{B7F2E73E-E58B-6640-869B-EB05B78C18A9}"/>
    <hyperlink ref="F18" r:id="rId12" xr:uid="{AA2CCDB0-1948-D945-96BA-5C9170A1D776}"/>
    <hyperlink ref="F24" r:id="rId13" xr:uid="{BDB72B57-61C9-9149-8596-6E42203BC3D0}"/>
    <hyperlink ref="F25" r:id="rId14" xr:uid="{C5983B14-E234-0C4D-BDF3-1EFE89C3340B}"/>
    <hyperlink ref="F26" r:id="rId15" xr:uid="{F222DEE2-0774-9D4F-B9A9-722C16740FBE}"/>
    <hyperlink ref="F27" r:id="rId16" xr:uid="{AD1A8440-FAE8-314E-8F9D-0FB5F101A92A}"/>
    <hyperlink ref="F28" r:id="rId17" xr:uid="{AB9BEFD1-9A8A-334B-8C69-70366AB19B96}"/>
    <hyperlink ref="F29" r:id="rId18" xr:uid="{F1D6E207-6F13-CA44-A5F3-3625CFA20BC2}"/>
    <hyperlink ref="F6" r:id="rId19" xr:uid="{B2A4236B-639D-C44A-B7C9-29A2EC352049}"/>
    <hyperlink ref="F16" r:id="rId20" xr:uid="{CF103C4D-AC14-034F-99C6-D16EB1F60033}"/>
    <hyperlink ref="F4" r:id="rId21" xr:uid="{0BFF4CC6-4599-754B-BCB6-B016CC087E2C}"/>
    <hyperlink ref="F11" r:id="rId22" xr:uid="{7D2446CD-E598-F940-8FA6-0D520AE70029}"/>
    <hyperlink ref="F14" r:id="rId23" xr:uid="{91B175F2-EA36-9B4C-BA7C-43578CFD0E01}"/>
    <hyperlink ref="F20" r:id="rId24" xr:uid="{97920109-AB47-1049-A34B-7CFE044A86E4}"/>
    <hyperlink ref="F19" r:id="rId25" xr:uid="{D815EA36-5655-6F45-95A6-3468E3413B66}"/>
    <hyperlink ref="F21" r:id="rId26" xr:uid="{4E8284CB-AF88-0E41-A21D-BDD8F6519535}"/>
    <hyperlink ref="F22" r:id="rId27" xr:uid="{6786AA3C-61E9-F542-A7F1-834CBB5C67C2}"/>
    <hyperlink ref="F40" r:id="rId28" xr:uid="{228812D6-A33F-6147-B1B2-471E79D4B85E}"/>
    <hyperlink ref="F39" r:id="rId29" xr:uid="{E0F0A6A3-9F0A-F54E-9933-78F1CB0848CA}"/>
    <hyperlink ref="F41" r:id="rId30" xr:uid="{08088DDD-DC64-2A42-B7EF-ECBF42392455}"/>
    <hyperlink ref="F36" r:id="rId31" xr:uid="{02FA3C84-DCE5-834A-8769-E48F305436A0}"/>
    <hyperlink ref="F37" r:id="rId32" xr:uid="{FD0DFA1F-4FC9-B740-A89C-19158DE5FAC0}"/>
    <hyperlink ref="F38" r:id="rId33" xr:uid="{4B75E8CD-37BA-3A47-98F6-42F7530D50B7}"/>
    <hyperlink ref="F35" r:id="rId34" xr:uid="{6866F6F6-1012-CB4E-B703-678106C67D71}"/>
    <hyperlink ref="F34" r:id="rId35" xr:uid="{74365620-A535-4C4B-85A8-AC950575C2D4}"/>
    <hyperlink ref="F33" r:id="rId36" xr:uid="{C5D0885C-CD37-AE4E-B9E2-523D2FE68FEA}"/>
    <hyperlink ref="F32" r:id="rId37" xr:uid="{C548E8AD-6605-9244-A2E2-DBC0456D6985}"/>
    <hyperlink ref="F31" r:id="rId38" xr:uid="{240825CF-8DD5-274B-B15F-86D964976F07}"/>
    <hyperlink ref="F30" r:id="rId39" xr:uid="{95B51580-3CEE-454C-B564-3EF5C53E4AC6}"/>
  </hyperlinks>
  <pageMargins left="0.7" right="0.7" top="0.75" bottom="0.75" header="0.3" footer="0.3"/>
  <pageSetup paperSize="9" orientation="portrait" horizontalDpi="0" verticalDpi="0"/>
  <tableParts count="2">
    <tablePart r:id="rId40"/>
    <tablePart r:id="rId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alperkartkaya@gmail.com</dc:creator>
  <cp:lastModifiedBy>alperkartkaya@gmail.com</cp:lastModifiedBy>
  <dcterms:created xsi:type="dcterms:W3CDTF">2026-08-10T16:07:21Z</dcterms:created>
  <dcterms:modified xsi:type="dcterms:W3CDTF">2026-08-10T23:38:26Z</dcterms:modified>
</cp:coreProperties>
</file>